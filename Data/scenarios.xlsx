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GitHub Repos\merging_SFW_decomposition_models\Data\"/>
    </mc:Choice>
  </mc:AlternateContent>
  <xr:revisionPtr revIDLastSave="0" documentId="13_ncr:1_{FCFA2C65-4279-49A4-B48A-43BF61C2D6F0}" xr6:coauthVersionLast="47" xr6:coauthVersionMax="47" xr10:uidLastSave="{00000000-0000-0000-0000-000000000000}"/>
  <bookViews>
    <workbookView xWindow="-110" yWindow="-110" windowWidth="25820" windowHeight="15500" activeTab="2" xr2:uid="{7C97690C-9E7B-4D0E-86C0-16835BCB4BB0}"/>
  </bookViews>
  <sheets>
    <sheet name="scenarios" sheetId="1" r:id="rId1"/>
    <sheet name="state_variables_value" sheetId="2" r:id="rId2"/>
    <sheet name="state_variable_include" sheetId="4" r:id="rId3"/>
    <sheet name="Sheet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27" i="6"/>
  <c r="D13" i="1"/>
  <c r="D12" i="1" s="1"/>
  <c r="F13" i="1"/>
  <c r="F12" i="1" s="1"/>
  <c r="G13" i="1"/>
  <c r="G12" i="1" s="1"/>
  <c r="D8" i="1"/>
  <c r="F8" i="1"/>
  <c r="G8" i="1"/>
  <c r="D5" i="1"/>
  <c r="D7" i="1"/>
  <c r="D6" i="1"/>
  <c r="D23" i="1"/>
  <c r="D38" i="1"/>
  <c r="D53" i="1"/>
  <c r="E12" i="1" l="1"/>
  <c r="E13" i="1"/>
  <c r="D2" i="2"/>
</calcChain>
</file>

<file path=xl/sharedStrings.xml><?xml version="1.0" encoding="utf-8"?>
<sst xmlns="http://schemas.openxmlformats.org/spreadsheetml/2006/main" count="603" uniqueCount="149">
  <si>
    <t>Parameter</t>
  </si>
  <si>
    <t>Scenario</t>
  </si>
  <si>
    <t>Value</t>
  </si>
  <si>
    <t>SD</t>
  </si>
  <si>
    <t>Reference</t>
  </si>
  <si>
    <t>Tree</t>
  </si>
  <si>
    <t>Herb</t>
  </si>
  <si>
    <t>earthworm</t>
  </si>
  <si>
    <t>RootHerb</t>
  </si>
  <si>
    <t>Detritivore</t>
  </si>
  <si>
    <t>MAT</t>
  </si>
  <si>
    <t>T_amp</t>
  </si>
  <si>
    <t>MAtheta</t>
  </si>
  <si>
    <t>theta_amp</t>
  </si>
  <si>
    <t>pct_claysilt</t>
  </si>
  <si>
    <t>fCLAY</t>
  </si>
  <si>
    <t>LigFrac</t>
  </si>
  <si>
    <t>NPP_herb</t>
  </si>
  <si>
    <t>NPP_tree</t>
  </si>
  <si>
    <t>pH</t>
  </si>
  <si>
    <t>BD</t>
  </si>
  <si>
    <t>d_earthworm</t>
  </si>
  <si>
    <t>a_earthworm</t>
  </si>
  <si>
    <t>Daniel 1991</t>
  </si>
  <si>
    <t>a_earthworm_soil</t>
  </si>
  <si>
    <t>George Brown</t>
  </si>
  <si>
    <t>p_earthworm</t>
  </si>
  <si>
    <t>Petersen + Luxton 1982</t>
  </si>
  <si>
    <t>c_earthworm_litter</t>
  </si>
  <si>
    <t>c_earthworm_soil</t>
  </si>
  <si>
    <t>c_earthworm_om</t>
  </si>
  <si>
    <t>prop_feaces_earthworm_LMWC</t>
  </si>
  <si>
    <t>k_b_slope_pint</t>
  </si>
  <si>
    <t>Earthworm</t>
  </si>
  <si>
    <t>Isopod</t>
  </si>
  <si>
    <t>d_detritivores</t>
  </si>
  <si>
    <t>a_detritivores</t>
  </si>
  <si>
    <t>p_detritivores</t>
  </si>
  <si>
    <t>c_detritivores</t>
  </si>
  <si>
    <t>5e-5</t>
  </si>
  <si>
    <t>slope_pint_det_k_frag_litter</t>
  </si>
  <si>
    <t>slope_pint_det_k_frag_organic</t>
  </si>
  <si>
    <t>climate-data.org (Murphy, NC)</t>
  </si>
  <si>
    <t>Estimation based on ECONet measures available on https://econet.climate.ncsu.edu/soil_moisture (Franklin station)</t>
  </si>
  <si>
    <t>http://websoilsurvey.sc.egov.usda.gov</t>
  </si>
  <si>
    <t>Summarized in Barreto and Lindo (2018); average of values provided for all mesofauna taxa</t>
  </si>
  <si>
    <t>2.16e-5</t>
  </si>
  <si>
    <t>Adapted from calculatation conduct on empirical data provided by Seastedt et al. 1983 and Seastedt 1984</t>
  </si>
  <si>
    <t>RootHerbivore</t>
  </si>
  <si>
    <t>c_rootherb</t>
  </si>
  <si>
    <t>d_rootherb</t>
  </si>
  <si>
    <t>a_rootherb</t>
  </si>
  <si>
    <t>p_rootherb</t>
  </si>
  <si>
    <t>k_exudate_intercept</t>
  </si>
  <si>
    <t>k_exudate_slope</t>
  </si>
  <si>
    <t>Min</t>
  </si>
  <si>
    <t>Max</t>
  </si>
  <si>
    <t>Status</t>
  </si>
  <si>
    <t>Done</t>
  </si>
  <si>
    <t>Category</t>
  </si>
  <si>
    <t>Environment</t>
  </si>
  <si>
    <t>Productivity</t>
  </si>
  <si>
    <t>Animal</t>
  </si>
  <si>
    <t>Effect</t>
  </si>
  <si>
    <t>Griffith et al. 2009</t>
  </si>
  <si>
    <t>Yeakley et al. 1998</t>
  </si>
  <si>
    <t>Oishi et al. 2018</t>
  </si>
  <si>
    <t>Wieder et al. 2015; SD is a placeholder</t>
  </si>
  <si>
    <t>Yoo et al. in prep</t>
  </si>
  <si>
    <t>Help needed</t>
  </si>
  <si>
    <t>Provide SD or min-max</t>
  </si>
  <si>
    <t>SD or min/max</t>
  </si>
  <si>
    <t>Reference and SD</t>
  </si>
  <si>
    <t>Status (Rob)</t>
  </si>
  <si>
    <t>Model</t>
  </si>
  <si>
    <t>StateVariable</t>
  </si>
  <si>
    <t>InitialEq</t>
  </si>
  <si>
    <t>All</t>
  </si>
  <si>
    <t>C_leaf_tree</t>
  </si>
  <si>
    <t>C_wood_tree</t>
  </si>
  <si>
    <t>C_root_tree</t>
  </si>
  <si>
    <t>Litter</t>
  </si>
  <si>
    <t>CWD</t>
  </si>
  <si>
    <t>Organic</t>
  </si>
  <si>
    <t>DOM</t>
  </si>
  <si>
    <t>MIC</t>
  </si>
  <si>
    <t>P</t>
  </si>
  <si>
    <t>L</t>
  </si>
  <si>
    <t>A</t>
  </si>
  <si>
    <t>M</t>
  </si>
  <si>
    <t>B</t>
  </si>
  <si>
    <t>C_leaf_herb</t>
  </si>
  <si>
    <t>C_root_herb</t>
  </si>
  <si>
    <t>Millennial</t>
  </si>
  <si>
    <t>Just to start spin-up</t>
  </si>
  <si>
    <t>Franco e t al. 2020; Nemaplex; Ferris, 2010</t>
  </si>
  <si>
    <t>Seastedt and Crossley Jr 1983</t>
  </si>
  <si>
    <t>Same as for the litter.</t>
  </si>
  <si>
    <t>Anything better?</t>
  </si>
  <si>
    <t>Status (Case study group)</t>
  </si>
  <si>
    <t>Inclusion</t>
  </si>
  <si>
    <t>Notes: CLI: 13547</t>
  </si>
  <si>
    <t>Soils of New Brunswick: Salisbury</t>
  </si>
  <si>
    <t>CLI: 13547 empirical data; Soils map says 1850, but probably to depth.</t>
  </si>
  <si>
    <t>(Lavigne et al., 2005)</t>
  </si>
  <si>
    <t>(MacLean &amp; Wein, 1977); Based on proportion of stock that is understory: Table 4</t>
  </si>
  <si>
    <t>(Preston, 2000); based on ranges from here, but need better data</t>
  </si>
  <si>
    <t>Yes! Better estimates for NB</t>
  </si>
  <si>
    <t>Do we need to explore this more?</t>
  </si>
  <si>
    <t>Units</t>
  </si>
  <si>
    <t>Degrees C</t>
  </si>
  <si>
    <t>Percent</t>
  </si>
  <si>
    <t>Proportion</t>
  </si>
  <si>
    <t>g C m-2 year-1</t>
  </si>
  <si>
    <t>kg soil m-3</t>
  </si>
  <si>
    <t>m2 (g C)-1 day-1</t>
  </si>
  <si>
    <t>m3 m-3</t>
  </si>
  <si>
    <t>day-1</t>
  </si>
  <si>
    <t>Buchkowski et al. 2024 converted to per gram earthworm carbon</t>
  </si>
  <si>
    <t>Mulder et al. 2007; Buchkowski et al. 2024; from Lavelle et al. 1987, Hamoui 1981, Brown et al. unpublished, Lavelle 1979</t>
  </si>
  <si>
    <t>Need to explore this more to get a better number</t>
  </si>
  <si>
    <t>Warburg et al. 1984 2.5 year lifespan</t>
  </si>
  <si>
    <t>Need to refine</t>
  </si>
  <si>
    <t>Fitted using the fitting function to achieve 56% increase in aggregate carbon indicated by Ross et al. 2024</t>
  </si>
  <si>
    <t>Fitted to achieve a 33% reduction in litter carbon indicated by de Smelt et al., 2018</t>
  </si>
  <si>
    <t>Calculated based on emperical data provided by Seastedt et al. 1983, but then changed from 0.0601 to 10.2047 to match the actual change in litter stock estimated from that paper.</t>
  </si>
  <si>
    <t>Buchkowski et al. 2024; Buchkowski and Schmitz 2022 for average weight from WE plots; 25% dry weight, 50% carbon</t>
  </si>
  <si>
    <t>unchanged from defaults; suggested min and max are from nelson et al 2004 (https://doi.org/10.1023/B:PLSO.0000020957.83641.62)</t>
  </si>
  <si>
    <t>unchanged from defaults; suggested min and max are from morgan et al, 2016 (https://doi.org/10.1016/j.rama.2016.05.002)</t>
  </si>
  <si>
    <t>Konza Prarie LTER: https://kpbs.konza.k-state.edu states silty clay loam; min max based on USDA soil texture (https://soilseries.sc.egov.usda.gov/OSD_Docs/K/KONZA.html)</t>
  </si>
  <si>
    <t>Based on USDA soil texture for silty clay loam</t>
  </si>
  <si>
    <t>unchanged from defaults; brandt et al  2010 have range of 6.61% (se: 0.55) - 8.10% (0.37) percent lignin (https://doi.org/10.1007/s10021-010-9353-2)</t>
  </si>
  <si>
    <t>Franco et al., 2020</t>
  </si>
  <si>
    <t>None - trees are excluded completely from this model</t>
  </si>
  <si>
    <t>described as moderately alkanine to moderately acidic - https://soilseries.sc.egov.usda.gov/OSD_Docs/K/KONZA.html</t>
  </si>
  <si>
    <t>Haveren et al, 1983; https://doi.org/10.2307/3898346</t>
  </si>
  <si>
    <t>Calculated using the carbon biomass of nematodes (avg. 1.82*10-6 gC/m2) and root carbon (avg. 95.28 gC/m2) from Franco 2020 and the parameters below; calculated F then c</t>
  </si>
  <si>
    <t>Chitambar et al. 2018</t>
  </si>
  <si>
    <t>Barreto et al. 2024; these are percentages reported in suppl.</t>
  </si>
  <si>
    <t>Microarthropod</t>
  </si>
  <si>
    <t>Giovanni for NB</t>
  </si>
  <si>
    <t>Nippert, J. 2023. APT02 Monthly temperature and precipitation records from Manhattan, KS ver 10. Environmental Data Initiative. https://doi.org/10.6073/pasta/d81b100b0737880b7950ec0d93625da9</t>
  </si>
  <si>
    <t>Buchkowski et al. 2019 J of Ecol. Sum of ANPP, assuming a_root_allocation is 1/2 and carbon is 50% , so those cancel each other out.</t>
  </si>
  <si>
    <t>Buchkowski et al., 2019 for isopod weights</t>
  </si>
  <si>
    <t>Schmitz et al. 2017 Ecology</t>
  </si>
  <si>
    <t>Buchkowski et al. 2023 Functional Ecology</t>
  </si>
  <si>
    <t>Soil Grids for CT and RI</t>
  </si>
  <si>
    <t>Range from Soil grids. Need to refine</t>
  </si>
  <si>
    <t>Data from Buchkowski et al.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</si>
</sst>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0" applyFont="1"/>
    <xf numFmtId="11" fontId="0" fillId="0" borderId="0" xfId="0" quotePrefix="1" applyNumberFormat="1" applyAlignment="1">
      <alignment wrapText="1"/>
    </xf>
    <xf numFmtId="1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3" borderId="0" xfId="0" applyFill="1"/>
    <xf numFmtId="0" fontId="19" fillId="33" borderId="0" xfId="0" applyFont="1" applyFill="1"/>
    <xf numFmtId="0" fontId="0" fillId="0" borderId="10" xfId="0" applyBorder="1" applyAlignment="1">
      <alignment wrapText="1"/>
    </xf>
    <xf numFmtId="0" fontId="20" fillId="0" borderId="0" xfId="42" applyAlignment="1">
      <alignment vertical="center"/>
    </xf>
    <xf numFmtId="0" fontId="0" fillId="35" borderId="10" xfId="0" applyFill="1" applyBorder="1"/>
    <xf numFmtId="0" fontId="21" fillId="0" borderId="0" xfId="0" applyFont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35" borderId="11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5" borderId="12" xfId="0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22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9F6D4-436C-4273-8592-6F473E4E1FC6}" name="Table1" displayName="Table1" ref="A1:L64" totalsRowShown="0" headerRowDxfId="13" dataDxfId="12">
  <autoFilter ref="A1:L64" xr:uid="{1759F6D4-436C-4273-8592-6F473E4E1FC6}"/>
  <sortState xmlns:xlrd2="http://schemas.microsoft.com/office/spreadsheetml/2017/richdata2" ref="A2:L64">
    <sortCondition ref="B1:B64"/>
  </sortState>
  <tableColumns count="12">
    <tableColumn id="1" xr3:uid="{9C63AD24-02BE-4FC6-8589-25FEAC9E29E1}" name="Parameter" dataDxfId="11"/>
    <tableColumn id="2" xr3:uid="{6FFFFAD3-CDDD-4A47-9019-7C5E6785F73D}" name="Scenario" dataDxfId="10"/>
    <tableColumn id="12" xr3:uid="{624CA8D0-C933-480B-99CE-4C2DA98C9671}" name="Units" dataDxfId="9"/>
    <tableColumn id="3" xr3:uid="{43A09F60-45AF-4366-B3C3-21E470E20743}" name="Value" dataDxfId="8"/>
    <tableColumn id="4" xr3:uid="{58AE1493-138A-4C0F-B37F-DC15984C1B4D}" name="SD" dataDxfId="7"/>
    <tableColumn id="5" xr3:uid="{C2652975-ACD3-4499-9A4F-55E61AF86737}" name="Min" dataDxfId="6"/>
    <tableColumn id="6" xr3:uid="{9D50F876-8F5B-4BBE-BE99-655FCFAB6B55}" name="Max" dataDxfId="5"/>
    <tableColumn id="7" xr3:uid="{E3199168-8B68-4130-96B7-37F35FEADAB4}" name="Reference" dataDxfId="4"/>
    <tableColumn id="10" xr3:uid="{7383E6E0-56E5-496B-9287-EE6E2AA3B268}" name="Help needed" dataDxfId="3"/>
    <tableColumn id="9" xr3:uid="{5A5E5207-A16E-4A54-BB54-6D4FB1E75949}" name="Category" dataDxfId="2"/>
    <tableColumn id="11" xr3:uid="{D48D6FAC-CC1D-441E-ACFF-3C1405C9376B}" name="Status (Case study group)" dataDxfId="1"/>
    <tableColumn id="8" xr3:uid="{F2E55EFF-159B-4FD3-B12E-2E3149126C35}" name="Status (Rob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6073/pasta/d81b100b0737880b7950ec0d93625da9" TargetMode="External"/><Relationship Id="rId1" Type="http://schemas.openxmlformats.org/officeDocument/2006/relationships/hyperlink" Target="https://doi.org/10.6073/pasta/d81b100b0737880b7950ec0d93625da9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18A0-EB93-4361-AE80-4D25DF544368}">
  <dimension ref="A1:L64"/>
  <sheetViews>
    <sheetView topLeftCell="A46" zoomScale="145" zoomScaleNormal="145" workbookViewId="0">
      <selection activeCell="B20" sqref="B20"/>
    </sheetView>
  </sheetViews>
  <sheetFormatPr defaultRowHeight="14.5" x14ac:dyDescent="0.35"/>
  <cols>
    <col min="1" max="1" width="17.26953125" bestFit="1" customWidth="1"/>
    <col min="2" max="3" width="22.7265625" customWidth="1"/>
    <col min="4" max="4" width="11.81640625" bestFit="1" customWidth="1"/>
    <col min="5" max="5" width="12.81640625" bestFit="1" customWidth="1"/>
    <col min="6" max="6" width="11.453125" bestFit="1" customWidth="1"/>
    <col min="7" max="7" width="12.54296875" bestFit="1" customWidth="1"/>
    <col min="8" max="8" width="52.26953125" bestFit="1" customWidth="1"/>
    <col min="9" max="10" width="23" customWidth="1"/>
    <col min="11" max="11" width="13.26953125" customWidth="1"/>
  </cols>
  <sheetData>
    <row r="1" spans="1:12" ht="29" x14ac:dyDescent="0.35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55</v>
      </c>
      <c r="G1" s="1" t="s">
        <v>56</v>
      </c>
      <c r="H1" s="1" t="s">
        <v>4</v>
      </c>
      <c r="I1" s="1" t="s">
        <v>69</v>
      </c>
      <c r="J1" s="1" t="s">
        <v>59</v>
      </c>
      <c r="K1" s="1" t="s">
        <v>99</v>
      </c>
      <c r="L1" s="1" t="s">
        <v>73</v>
      </c>
    </row>
    <row r="2" spans="1:12" x14ac:dyDescent="0.35">
      <c r="A2" s="1" t="s">
        <v>22</v>
      </c>
      <c r="B2" s="1" t="s">
        <v>33</v>
      </c>
      <c r="C2" s="1" t="s">
        <v>112</v>
      </c>
      <c r="D2" s="1">
        <v>0.53</v>
      </c>
      <c r="E2" s="1">
        <v>0.06</v>
      </c>
      <c r="F2" s="1">
        <v>0</v>
      </c>
      <c r="G2" s="1">
        <v>1</v>
      </c>
      <c r="H2" s="1" t="s">
        <v>23</v>
      </c>
      <c r="I2" s="1"/>
      <c r="J2" s="1" t="s">
        <v>62</v>
      </c>
      <c r="K2" s="1"/>
      <c r="L2" s="1" t="s">
        <v>58</v>
      </c>
    </row>
    <row r="3" spans="1:12" x14ac:dyDescent="0.35">
      <c r="A3" s="1" t="s">
        <v>24</v>
      </c>
      <c r="B3" s="1" t="s">
        <v>33</v>
      </c>
      <c r="C3" s="1" t="s">
        <v>112</v>
      </c>
      <c r="D3" s="1">
        <v>0.09</v>
      </c>
      <c r="E3" s="1">
        <v>0.06</v>
      </c>
      <c r="F3" s="1">
        <v>0</v>
      </c>
      <c r="G3" s="1">
        <v>1</v>
      </c>
      <c r="H3" s="1" t="s">
        <v>25</v>
      </c>
      <c r="I3" s="1"/>
      <c r="J3" s="1" t="s">
        <v>62</v>
      </c>
      <c r="K3" s="1"/>
      <c r="L3" s="1" t="s">
        <v>58</v>
      </c>
    </row>
    <row r="4" spans="1:12" ht="29" x14ac:dyDescent="0.35">
      <c r="A4" s="1" t="s">
        <v>20</v>
      </c>
      <c r="B4" s="1" t="s">
        <v>33</v>
      </c>
      <c r="C4" s="1" t="s">
        <v>114</v>
      </c>
      <c r="D4" s="1">
        <v>700</v>
      </c>
      <c r="E4" s="1">
        <v>320</v>
      </c>
      <c r="F4" s="1">
        <v>390</v>
      </c>
      <c r="G4" s="1">
        <v>1160</v>
      </c>
      <c r="H4" s="1" t="s">
        <v>103</v>
      </c>
      <c r="I4" s="1"/>
      <c r="J4" s="1" t="s">
        <v>60</v>
      </c>
      <c r="K4" s="1"/>
      <c r="L4" s="1" t="s">
        <v>58</v>
      </c>
    </row>
    <row r="5" spans="1:12" ht="29" x14ac:dyDescent="0.35">
      <c r="A5" s="1" t="s">
        <v>28</v>
      </c>
      <c r="B5" s="1" t="s">
        <v>33</v>
      </c>
      <c r="C5" s="1" t="s">
        <v>115</v>
      </c>
      <c r="D5" s="4">
        <f>0.00207/0.0375</f>
        <v>5.5199999999999999E-2</v>
      </c>
      <c r="E5" s="1"/>
      <c r="F5" s="1"/>
      <c r="G5" s="1"/>
      <c r="H5" s="1" t="s">
        <v>118</v>
      </c>
      <c r="I5" s="1"/>
      <c r="J5" s="1" t="s">
        <v>62</v>
      </c>
      <c r="K5" s="1"/>
      <c r="L5" s="1" t="s">
        <v>58</v>
      </c>
    </row>
    <row r="6" spans="1:12" ht="29" x14ac:dyDescent="0.35">
      <c r="A6" s="1" t="s">
        <v>30</v>
      </c>
      <c r="B6" s="1" t="s">
        <v>33</v>
      </c>
      <c r="C6" s="1" t="s">
        <v>115</v>
      </c>
      <c r="D6" s="4">
        <f>0.00207/0.0375</f>
        <v>5.5199999999999999E-2</v>
      </c>
      <c r="E6" s="1"/>
      <c r="F6" s="1"/>
      <c r="G6" s="1"/>
      <c r="H6" s="1" t="s">
        <v>118</v>
      </c>
      <c r="I6" s="1"/>
      <c r="J6" s="1" t="s">
        <v>62</v>
      </c>
      <c r="K6" s="1"/>
      <c r="L6" s="1" t="s">
        <v>58</v>
      </c>
    </row>
    <row r="7" spans="1:12" ht="29" x14ac:dyDescent="0.35">
      <c r="A7" s="1" t="s">
        <v>29</v>
      </c>
      <c r="B7" s="1" t="s">
        <v>33</v>
      </c>
      <c r="C7" s="1" t="s">
        <v>115</v>
      </c>
      <c r="D7" s="4">
        <f>0.00207/0.0375</f>
        <v>5.5199999999999999E-2</v>
      </c>
      <c r="E7" s="1"/>
      <c r="F7" s="1"/>
      <c r="G7" s="1"/>
      <c r="H7" s="1" t="s">
        <v>118</v>
      </c>
      <c r="I7" s="1"/>
      <c r="J7" s="1" t="s">
        <v>62</v>
      </c>
      <c r="K7" s="1"/>
      <c r="L7" s="1" t="s">
        <v>58</v>
      </c>
    </row>
    <row r="8" spans="1:12" ht="29" x14ac:dyDescent="0.35">
      <c r="A8" s="1" t="s">
        <v>21</v>
      </c>
      <c r="B8" s="1" t="s">
        <v>33</v>
      </c>
      <c r="C8" s="1" t="s">
        <v>115</v>
      </c>
      <c r="D8" s="1">
        <f>0.217/365/state_variables_value!D2</f>
        <v>9.2173728363597747E-5</v>
      </c>
      <c r="E8" s="1"/>
      <c r="F8" s="1">
        <f>0.217/365/state_variables_value!D2</f>
        <v>9.2173728363597747E-5</v>
      </c>
      <c r="G8" s="1">
        <f>0.0018/state_variables_value!D2</f>
        <v>2.7906976744186045E-4</v>
      </c>
      <c r="H8" s="1" t="s">
        <v>119</v>
      </c>
      <c r="I8" s="1"/>
      <c r="J8" s="1" t="s">
        <v>62</v>
      </c>
      <c r="K8" s="1"/>
      <c r="L8" s="1" t="s">
        <v>58</v>
      </c>
    </row>
    <row r="9" spans="1:12" ht="29" x14ac:dyDescent="0.35">
      <c r="A9" s="1" t="s">
        <v>32</v>
      </c>
      <c r="B9" s="1" t="s">
        <v>33</v>
      </c>
      <c r="C9" s="1" t="s">
        <v>112</v>
      </c>
      <c r="D9" s="1">
        <v>-5.5040310000000002E-2</v>
      </c>
      <c r="E9" s="1"/>
      <c r="F9" s="1"/>
      <c r="G9" s="1"/>
      <c r="H9" s="1" t="s">
        <v>123</v>
      </c>
      <c r="I9" s="1" t="s">
        <v>120</v>
      </c>
      <c r="J9" s="1" t="s">
        <v>63</v>
      </c>
      <c r="K9" s="1"/>
      <c r="L9" s="1" t="s">
        <v>58</v>
      </c>
    </row>
    <row r="10" spans="1:12" x14ac:dyDescent="0.35">
      <c r="A10" s="1" t="s">
        <v>10</v>
      </c>
      <c r="B10" s="1" t="s">
        <v>33</v>
      </c>
      <c r="C10" s="1" t="s">
        <v>110</v>
      </c>
      <c r="D10" s="1">
        <v>6</v>
      </c>
      <c r="E10" s="1"/>
      <c r="F10" s="1">
        <v>3</v>
      </c>
      <c r="G10" s="1">
        <v>9</v>
      </c>
      <c r="H10" s="1" t="s">
        <v>101</v>
      </c>
      <c r="I10" s="1" t="s">
        <v>122</v>
      </c>
      <c r="J10" s="1" t="s">
        <v>60</v>
      </c>
      <c r="K10" s="1"/>
      <c r="L10" s="1" t="s">
        <v>58</v>
      </c>
    </row>
    <row r="11" spans="1:12" x14ac:dyDescent="0.35">
      <c r="A11" s="1" t="s">
        <v>12</v>
      </c>
      <c r="B11" s="1" t="s">
        <v>33</v>
      </c>
      <c r="C11" s="1" t="s">
        <v>116</v>
      </c>
      <c r="D11" s="1">
        <v>0.33</v>
      </c>
      <c r="E11" s="1">
        <v>7.0000000000000007E-2</v>
      </c>
      <c r="F11" s="1">
        <v>0</v>
      </c>
      <c r="G11" s="1">
        <v>1</v>
      </c>
      <c r="H11" s="1" t="s">
        <v>140</v>
      </c>
      <c r="I11" s="1"/>
      <c r="J11" s="1" t="s">
        <v>60</v>
      </c>
      <c r="K11" s="1"/>
      <c r="L11" s="1" t="s">
        <v>58</v>
      </c>
    </row>
    <row r="12" spans="1:12" x14ac:dyDescent="0.35">
      <c r="A12" s="1" t="s">
        <v>17</v>
      </c>
      <c r="B12" s="1" t="s">
        <v>33</v>
      </c>
      <c r="C12" s="1" t="s">
        <v>113</v>
      </c>
      <c r="D12" s="5">
        <f>D13*0.03</f>
        <v>13.44</v>
      </c>
      <c r="E12" s="5">
        <f>STDEV(Table1[[#This Row],[Min]:[Max]])</f>
        <v>9.9843477503540505</v>
      </c>
      <c r="F12" s="5">
        <f>F13*0.01</f>
        <v>3.8000000000000003</v>
      </c>
      <c r="G12" s="5">
        <f>G13*0.04</f>
        <v>17.920000000000002</v>
      </c>
      <c r="H12" t="s">
        <v>105</v>
      </c>
      <c r="I12" s="1"/>
      <c r="J12" s="1" t="s">
        <v>61</v>
      </c>
      <c r="K12" s="1"/>
      <c r="L12" s="1" t="s">
        <v>58</v>
      </c>
    </row>
    <row r="13" spans="1:12" x14ac:dyDescent="0.35">
      <c r="A13" s="1" t="s">
        <v>18</v>
      </c>
      <c r="B13" s="1" t="s">
        <v>33</v>
      </c>
      <c r="C13" s="1" t="s">
        <v>113</v>
      </c>
      <c r="D13" s="1">
        <f>336/0.75</f>
        <v>448</v>
      </c>
      <c r="E13" s="5">
        <f>STDEV(Table1[[#This Row],[Min]:[Max]])</f>
        <v>48.083261120685229</v>
      </c>
      <c r="F13" s="1">
        <f>285/0.75</f>
        <v>380</v>
      </c>
      <c r="G13" s="1">
        <f>336/0.75</f>
        <v>448</v>
      </c>
      <c r="H13" t="s">
        <v>104</v>
      </c>
      <c r="I13" s="1"/>
      <c r="J13" s="1" t="s">
        <v>61</v>
      </c>
      <c r="K13" s="1"/>
      <c r="L13" s="1" t="s">
        <v>58</v>
      </c>
    </row>
    <row r="14" spans="1:12" x14ac:dyDescent="0.35">
      <c r="A14" s="1" t="s">
        <v>26</v>
      </c>
      <c r="B14" s="1" t="s">
        <v>33</v>
      </c>
      <c r="C14" s="1" t="s">
        <v>112</v>
      </c>
      <c r="D14" s="1">
        <v>0.22</v>
      </c>
      <c r="E14" s="1">
        <v>7.0300000000000001E-2</v>
      </c>
      <c r="F14" s="1">
        <v>0</v>
      </c>
      <c r="G14" s="1">
        <v>1</v>
      </c>
      <c r="H14" s="1" t="s">
        <v>27</v>
      </c>
      <c r="I14" s="1"/>
      <c r="J14" s="1" t="s">
        <v>62</v>
      </c>
      <c r="K14" s="1"/>
      <c r="L14" s="1" t="s">
        <v>58</v>
      </c>
    </row>
    <row r="15" spans="1:12" x14ac:dyDescent="0.35">
      <c r="A15" s="1" t="s">
        <v>14</v>
      </c>
      <c r="B15" s="1" t="s">
        <v>33</v>
      </c>
      <c r="C15" s="1" t="s">
        <v>111</v>
      </c>
      <c r="D15" s="1">
        <v>73</v>
      </c>
      <c r="E15" s="1"/>
      <c r="F15" s="1">
        <v>71</v>
      </c>
      <c r="G15" s="1">
        <v>78</v>
      </c>
      <c r="H15" s="1" t="s">
        <v>102</v>
      </c>
      <c r="I15" s="1"/>
      <c r="J15" s="1" t="s">
        <v>60</v>
      </c>
      <c r="K15" s="1"/>
      <c r="L15" s="1" t="s">
        <v>58</v>
      </c>
    </row>
    <row r="16" spans="1:12" x14ac:dyDescent="0.35">
      <c r="A16" s="1" t="s">
        <v>19</v>
      </c>
      <c r="B16" s="1" t="s">
        <v>33</v>
      </c>
      <c r="C16" s="1"/>
      <c r="D16" s="1">
        <v>7.7</v>
      </c>
      <c r="E16" s="1"/>
      <c r="F16" s="1">
        <v>7.5</v>
      </c>
      <c r="G16" s="1">
        <v>8</v>
      </c>
      <c r="H16" s="1" t="s">
        <v>102</v>
      </c>
      <c r="I16" s="1"/>
      <c r="J16" s="1" t="s">
        <v>60</v>
      </c>
      <c r="K16" s="1"/>
      <c r="L16" s="1" t="s">
        <v>58</v>
      </c>
    </row>
    <row r="17" spans="1:12" ht="29" x14ac:dyDescent="0.35">
      <c r="A17" s="1" t="s">
        <v>31</v>
      </c>
      <c r="B17" s="1" t="s">
        <v>33</v>
      </c>
      <c r="C17" s="1" t="s">
        <v>112</v>
      </c>
      <c r="D17" s="1">
        <v>0</v>
      </c>
      <c r="E17" s="1"/>
      <c r="F17" s="1">
        <v>0</v>
      </c>
      <c r="G17" s="1">
        <v>1</v>
      </c>
      <c r="H17" s="1"/>
      <c r="I17" s="1" t="s">
        <v>108</v>
      </c>
      <c r="J17" s="1" t="s">
        <v>62</v>
      </c>
      <c r="K17" s="1"/>
      <c r="L17" s="1" t="s">
        <v>58</v>
      </c>
    </row>
    <row r="18" spans="1:12" x14ac:dyDescent="0.35">
      <c r="A18" s="1" t="s">
        <v>11</v>
      </c>
      <c r="B18" s="1" t="s">
        <v>33</v>
      </c>
      <c r="C18" s="1" t="s">
        <v>110</v>
      </c>
      <c r="D18" s="1">
        <v>26</v>
      </c>
      <c r="E18" s="1"/>
      <c r="F18" s="1"/>
      <c r="G18" s="1"/>
      <c r="H18" s="1"/>
      <c r="I18" s="1"/>
      <c r="J18" s="1" t="s">
        <v>60</v>
      </c>
      <c r="K18" s="1"/>
      <c r="L18" s="1" t="s">
        <v>58</v>
      </c>
    </row>
    <row r="19" spans="1:12" x14ac:dyDescent="0.35">
      <c r="A19" s="1" t="s">
        <v>13</v>
      </c>
      <c r="B19" s="1" t="s">
        <v>33</v>
      </c>
      <c r="C19" s="1" t="s">
        <v>116</v>
      </c>
      <c r="D19" s="1">
        <v>0.15</v>
      </c>
      <c r="E19" s="1"/>
      <c r="F19" s="1"/>
      <c r="G19" s="1"/>
      <c r="H19" s="1"/>
      <c r="I19" s="1"/>
      <c r="J19" s="1" t="s">
        <v>60</v>
      </c>
      <c r="K19" s="1"/>
      <c r="L19" s="1" t="s">
        <v>58</v>
      </c>
    </row>
    <row r="20" spans="1:12" x14ac:dyDescent="0.35">
      <c r="A20" s="1" t="s">
        <v>36</v>
      </c>
      <c r="B20" s="1" t="s">
        <v>34</v>
      </c>
      <c r="C20" s="1" t="s">
        <v>112</v>
      </c>
      <c r="D20" s="1">
        <v>0.5</v>
      </c>
      <c r="E20" s="1"/>
      <c r="F20" s="1"/>
      <c r="G20" s="1"/>
      <c r="H20" s="1"/>
      <c r="I20" s="1" t="s">
        <v>122</v>
      </c>
      <c r="J20" s="1" t="s">
        <v>62</v>
      </c>
      <c r="K20" s="1"/>
      <c r="L20" s="1" t="s">
        <v>58</v>
      </c>
    </row>
    <row r="21" spans="1:12" x14ac:dyDescent="0.35">
      <c r="A21" s="1" t="s">
        <v>20</v>
      </c>
      <c r="B21" s="1" t="s">
        <v>34</v>
      </c>
      <c r="C21" s="1" t="s">
        <v>114</v>
      </c>
      <c r="D21" s="1">
        <v>1300</v>
      </c>
      <c r="E21" s="1"/>
      <c r="F21" s="1">
        <v>750</v>
      </c>
      <c r="G21" s="1">
        <v>1750</v>
      </c>
      <c r="H21" s="1" t="s">
        <v>147</v>
      </c>
      <c r="I21" s="1" t="s">
        <v>122</v>
      </c>
      <c r="J21" s="1" t="s">
        <v>60</v>
      </c>
      <c r="K21" s="1"/>
      <c r="L21" s="1" t="s">
        <v>58</v>
      </c>
    </row>
    <row r="22" spans="1:12" x14ac:dyDescent="0.35">
      <c r="A22" s="1" t="s">
        <v>38</v>
      </c>
      <c r="B22" s="1" t="s">
        <v>34</v>
      </c>
      <c r="C22" s="1" t="s">
        <v>115</v>
      </c>
      <c r="D22" s="2" t="s">
        <v>39</v>
      </c>
      <c r="E22" s="1"/>
      <c r="F22" s="1"/>
      <c r="G22" s="1"/>
      <c r="H22" s="1"/>
      <c r="I22" s="1" t="s">
        <v>122</v>
      </c>
      <c r="J22" s="1" t="s">
        <v>62</v>
      </c>
      <c r="K22" s="1"/>
      <c r="L22" s="1" t="s">
        <v>58</v>
      </c>
    </row>
    <row r="23" spans="1:12" x14ac:dyDescent="0.35">
      <c r="A23" s="1" t="s">
        <v>35</v>
      </c>
      <c r="B23" s="1" t="s">
        <v>34</v>
      </c>
      <c r="C23" s="1" t="s">
        <v>115</v>
      </c>
      <c r="D23" s="1">
        <f>1/(2.5*365*state_variables_value!D3)</f>
        <v>3.5930833146193579E-3</v>
      </c>
      <c r="E23" s="1"/>
      <c r="F23" s="1"/>
      <c r="G23" s="1"/>
      <c r="H23" s="1" t="s">
        <v>121</v>
      </c>
      <c r="I23" s="1" t="s">
        <v>122</v>
      </c>
      <c r="J23" s="1" t="s">
        <v>62</v>
      </c>
      <c r="K23" s="1"/>
      <c r="L23" s="1" t="s">
        <v>58</v>
      </c>
    </row>
    <row r="24" spans="1:12" ht="16.5" x14ac:dyDescent="0.35">
      <c r="A24" s="1" t="s">
        <v>10</v>
      </c>
      <c r="B24" s="1" t="s">
        <v>34</v>
      </c>
      <c r="C24" s="1" t="s">
        <v>110</v>
      </c>
      <c r="D24" s="21">
        <v>8.83</v>
      </c>
      <c r="E24" s="1"/>
      <c r="F24" s="1">
        <v>3</v>
      </c>
      <c r="G24" s="1">
        <v>9</v>
      </c>
      <c r="H24" s="14" t="s">
        <v>148</v>
      </c>
      <c r="I24" s="1" t="s">
        <v>122</v>
      </c>
      <c r="J24" s="1" t="s">
        <v>60</v>
      </c>
      <c r="K24" s="1"/>
      <c r="L24" s="1" t="s">
        <v>58</v>
      </c>
    </row>
    <row r="25" spans="1:12" ht="15.5" x14ac:dyDescent="0.35">
      <c r="A25" s="1" t="s">
        <v>12</v>
      </c>
      <c r="B25" s="1" t="s">
        <v>34</v>
      </c>
      <c r="C25" s="1" t="s">
        <v>116</v>
      </c>
      <c r="D25" s="1">
        <v>0.33</v>
      </c>
      <c r="E25" s="1">
        <v>7.0000000000000007E-2</v>
      </c>
      <c r="F25" s="1">
        <v>0</v>
      </c>
      <c r="G25" s="1">
        <v>1</v>
      </c>
      <c r="H25" s="14" t="s">
        <v>145</v>
      </c>
      <c r="I25" s="1" t="s">
        <v>122</v>
      </c>
      <c r="J25" s="1" t="s">
        <v>60</v>
      </c>
      <c r="K25" s="1"/>
      <c r="L25" s="1" t="s">
        <v>58</v>
      </c>
    </row>
    <row r="26" spans="1:12" ht="43.5" x14ac:dyDescent="0.35">
      <c r="A26" s="1" t="s">
        <v>17</v>
      </c>
      <c r="B26" s="1" t="s">
        <v>34</v>
      </c>
      <c r="C26" s="1" t="s">
        <v>113</v>
      </c>
      <c r="D26" s="1">
        <v>177</v>
      </c>
      <c r="E26" s="1">
        <v>52</v>
      </c>
      <c r="F26" s="1"/>
      <c r="G26" s="1"/>
      <c r="H26" s="1" t="s">
        <v>142</v>
      </c>
      <c r="I26" s="1" t="s">
        <v>122</v>
      </c>
      <c r="J26" s="1" t="s">
        <v>61</v>
      </c>
      <c r="K26" s="1"/>
      <c r="L26" s="1" t="s">
        <v>58</v>
      </c>
    </row>
    <row r="27" spans="1:12" x14ac:dyDescent="0.35">
      <c r="A27" s="1" t="s">
        <v>18</v>
      </c>
      <c r="B27" s="1" t="s">
        <v>34</v>
      </c>
      <c r="C27" s="1" t="s">
        <v>113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 t="s">
        <v>37</v>
      </c>
      <c r="B28" s="1" t="s">
        <v>34</v>
      </c>
      <c r="C28" s="1" t="s">
        <v>112</v>
      </c>
      <c r="D28" s="1">
        <v>0.35</v>
      </c>
      <c r="E28" s="1"/>
      <c r="F28" s="1"/>
      <c r="G28" s="1"/>
      <c r="H28" s="1"/>
      <c r="I28" s="1" t="s">
        <v>122</v>
      </c>
      <c r="J28" s="1" t="s">
        <v>62</v>
      </c>
      <c r="K28" s="1"/>
      <c r="L28" s="1" t="s">
        <v>58</v>
      </c>
    </row>
    <row r="29" spans="1:12" x14ac:dyDescent="0.35">
      <c r="A29" s="1" t="s">
        <v>14</v>
      </c>
      <c r="B29" s="1" t="s">
        <v>34</v>
      </c>
      <c r="C29" s="1" t="s">
        <v>111</v>
      </c>
      <c r="D29" s="1">
        <v>45</v>
      </c>
      <c r="E29" s="1"/>
      <c r="F29" s="1">
        <v>30</v>
      </c>
      <c r="G29" s="1">
        <v>60</v>
      </c>
      <c r="H29" s="1" t="s">
        <v>144</v>
      </c>
      <c r="I29" s="1" t="s">
        <v>122</v>
      </c>
      <c r="J29" s="1" t="s">
        <v>60</v>
      </c>
      <c r="K29" s="1"/>
      <c r="L29" s="1" t="s">
        <v>58</v>
      </c>
    </row>
    <row r="30" spans="1:12" x14ac:dyDescent="0.35">
      <c r="A30" s="1" t="s">
        <v>19</v>
      </c>
      <c r="B30" s="1" t="s">
        <v>34</v>
      </c>
      <c r="C30" s="1"/>
      <c r="D30" s="1">
        <v>6</v>
      </c>
      <c r="E30" s="1"/>
      <c r="F30" s="1">
        <v>3</v>
      </c>
      <c r="G30" s="1">
        <v>6</v>
      </c>
      <c r="H30" s="1" t="s">
        <v>146</v>
      </c>
      <c r="I30" s="1" t="s">
        <v>122</v>
      </c>
      <c r="J30" s="1" t="s">
        <v>60</v>
      </c>
      <c r="K30" s="1"/>
      <c r="L30" s="1" t="s">
        <v>58</v>
      </c>
    </row>
    <row r="31" spans="1:12" ht="29" x14ac:dyDescent="0.35">
      <c r="A31" s="1" t="s">
        <v>40</v>
      </c>
      <c r="B31" s="1" t="s">
        <v>34</v>
      </c>
      <c r="C31" s="1" t="s">
        <v>112</v>
      </c>
      <c r="D31" s="6">
        <v>0.4236007</v>
      </c>
      <c r="E31" s="1"/>
      <c r="F31" s="1"/>
      <c r="G31" s="1"/>
      <c r="H31" s="1" t="s">
        <v>124</v>
      </c>
      <c r="I31" s="1" t="s">
        <v>122</v>
      </c>
      <c r="J31" s="1" t="s">
        <v>63</v>
      </c>
      <c r="K31" s="1"/>
      <c r="L31" s="1" t="s">
        <v>58</v>
      </c>
    </row>
    <row r="32" spans="1:12" ht="29" x14ac:dyDescent="0.35">
      <c r="A32" s="1" t="s">
        <v>41</v>
      </c>
      <c r="B32" s="1" t="s">
        <v>34</v>
      </c>
      <c r="C32" s="1" t="s">
        <v>112</v>
      </c>
      <c r="D32" s="6">
        <v>0.4236007</v>
      </c>
      <c r="E32" s="1"/>
      <c r="F32" s="1"/>
      <c r="G32" s="1"/>
      <c r="H32" s="1" t="s">
        <v>124</v>
      </c>
      <c r="I32" s="1" t="s">
        <v>122</v>
      </c>
      <c r="J32" s="1" t="s">
        <v>63</v>
      </c>
      <c r="K32" s="1"/>
      <c r="L32" s="1" t="s">
        <v>58</v>
      </c>
    </row>
    <row r="33" spans="1:12" ht="16.5" x14ac:dyDescent="0.35">
      <c r="A33" s="1" t="s">
        <v>11</v>
      </c>
      <c r="B33" s="1" t="s">
        <v>34</v>
      </c>
      <c r="C33" s="1" t="s">
        <v>110</v>
      </c>
      <c r="D33" s="21">
        <v>25.65</v>
      </c>
      <c r="E33" s="1"/>
      <c r="F33" s="1"/>
      <c r="G33" s="1"/>
      <c r="H33" s="14" t="s">
        <v>145</v>
      </c>
      <c r="I33" s="1" t="s">
        <v>122</v>
      </c>
      <c r="J33" s="1" t="s">
        <v>60</v>
      </c>
      <c r="K33" s="1"/>
      <c r="L33" s="1" t="s">
        <v>58</v>
      </c>
    </row>
    <row r="34" spans="1:12" ht="15.5" x14ac:dyDescent="0.35">
      <c r="A34" s="1" t="s">
        <v>13</v>
      </c>
      <c r="B34" s="1" t="s">
        <v>34</v>
      </c>
      <c r="C34" s="1" t="s">
        <v>116</v>
      </c>
      <c r="D34" s="1">
        <v>0.15</v>
      </c>
      <c r="E34" s="1"/>
      <c r="F34" s="1"/>
      <c r="G34" s="1"/>
      <c r="H34" s="14"/>
      <c r="I34" s="1" t="s">
        <v>122</v>
      </c>
      <c r="J34" s="1" t="s">
        <v>60</v>
      </c>
      <c r="K34" s="1"/>
      <c r="L34" s="1" t="s">
        <v>58</v>
      </c>
    </row>
    <row r="35" spans="1:12" ht="29" x14ac:dyDescent="0.35">
      <c r="A35" s="1" t="s">
        <v>36</v>
      </c>
      <c r="B35" s="1" t="s">
        <v>139</v>
      </c>
      <c r="C35" s="1" t="s">
        <v>112</v>
      </c>
      <c r="D35" s="1">
        <v>0.50930200000000003</v>
      </c>
      <c r="E35" s="1">
        <v>2.9389999999999999E-2</v>
      </c>
      <c r="F35" s="1"/>
      <c r="G35" s="1"/>
      <c r="H35" s="1" t="s">
        <v>45</v>
      </c>
      <c r="I35" s="1"/>
      <c r="J35" s="1" t="s">
        <v>62</v>
      </c>
      <c r="K35" s="1"/>
      <c r="L35" s="1" t="s">
        <v>58</v>
      </c>
    </row>
    <row r="36" spans="1:12" x14ac:dyDescent="0.35">
      <c r="A36" s="1" t="s">
        <v>20</v>
      </c>
      <c r="B36" s="1" t="s">
        <v>139</v>
      </c>
      <c r="C36" s="1" t="s">
        <v>114</v>
      </c>
      <c r="D36" s="1">
        <v>880</v>
      </c>
      <c r="E36" s="1">
        <v>70</v>
      </c>
      <c r="F36" s="1">
        <v>810</v>
      </c>
      <c r="G36" s="1">
        <v>960</v>
      </c>
      <c r="H36" s="3" t="s">
        <v>65</v>
      </c>
      <c r="I36" s="3"/>
      <c r="J36" s="1" t="s">
        <v>60</v>
      </c>
      <c r="K36" s="1"/>
      <c r="L36" s="1" t="s">
        <v>58</v>
      </c>
    </row>
    <row r="37" spans="1:12" ht="29" x14ac:dyDescent="0.35">
      <c r="A37" s="1" t="s">
        <v>38</v>
      </c>
      <c r="B37" s="1" t="s">
        <v>139</v>
      </c>
      <c r="C37" s="1" t="s">
        <v>115</v>
      </c>
      <c r="D37" s="2" t="s">
        <v>46</v>
      </c>
      <c r="E37" s="1"/>
      <c r="F37" s="1"/>
      <c r="G37" s="1"/>
      <c r="H37" s="1" t="s">
        <v>47</v>
      </c>
      <c r="I37" s="1"/>
      <c r="J37" s="1" t="s">
        <v>62</v>
      </c>
      <c r="K37" s="1"/>
      <c r="L37" s="1" t="s">
        <v>58</v>
      </c>
    </row>
    <row r="38" spans="1:12" ht="29" x14ac:dyDescent="0.35">
      <c r="A38" s="1" t="s">
        <v>35</v>
      </c>
      <c r="B38" s="1" t="s">
        <v>139</v>
      </c>
      <c r="C38" s="1" t="s">
        <v>115</v>
      </c>
      <c r="D38" s="1">
        <f>0.0058/state_variables_value!D4</f>
        <v>5.7999999999999996E-2</v>
      </c>
      <c r="E38" s="1">
        <v>3.3999999999999998E-3</v>
      </c>
      <c r="F38" s="1"/>
      <c r="G38" s="1"/>
      <c r="H38" s="1" t="s">
        <v>45</v>
      </c>
      <c r="I38" s="1"/>
      <c r="J38" s="1" t="s">
        <v>62</v>
      </c>
      <c r="K38" s="1"/>
      <c r="L38" s="1" t="s">
        <v>58</v>
      </c>
    </row>
    <row r="39" spans="1:12" x14ac:dyDescent="0.35">
      <c r="A39" s="1" t="s">
        <v>10</v>
      </c>
      <c r="B39" s="1" t="s">
        <v>139</v>
      </c>
      <c r="C39" s="1" t="s">
        <v>110</v>
      </c>
      <c r="D39" s="1">
        <v>12</v>
      </c>
      <c r="E39" s="1">
        <v>2.4</v>
      </c>
      <c r="F39" s="1"/>
      <c r="G39" s="1"/>
      <c r="H39" s="1" t="s">
        <v>42</v>
      </c>
      <c r="I39" s="1"/>
      <c r="J39" s="1" t="s">
        <v>60</v>
      </c>
      <c r="K39" s="1"/>
      <c r="L39" s="1" t="s">
        <v>58</v>
      </c>
    </row>
    <row r="40" spans="1:12" ht="43.5" x14ac:dyDescent="0.35">
      <c r="A40" s="1" t="s">
        <v>12</v>
      </c>
      <c r="B40" s="1" t="s">
        <v>139</v>
      </c>
      <c r="C40" s="1" t="s">
        <v>116</v>
      </c>
      <c r="D40" s="1">
        <v>0.2</v>
      </c>
      <c r="E40" s="1">
        <v>0.04</v>
      </c>
      <c r="F40" s="1">
        <v>0</v>
      </c>
      <c r="G40" s="1">
        <v>1</v>
      </c>
      <c r="H40" s="1" t="s">
        <v>43</v>
      </c>
      <c r="I40" s="1"/>
      <c r="J40" s="1" t="s">
        <v>60</v>
      </c>
      <c r="K40" s="1"/>
      <c r="L40" s="1" t="s">
        <v>58</v>
      </c>
    </row>
    <row r="41" spans="1:12" x14ac:dyDescent="0.35">
      <c r="A41" s="1" t="s">
        <v>17</v>
      </c>
      <c r="B41" s="1" t="s">
        <v>139</v>
      </c>
      <c r="C41" s="1" t="s">
        <v>113</v>
      </c>
      <c r="D41" s="1">
        <v>212</v>
      </c>
      <c r="E41" s="1">
        <v>157</v>
      </c>
      <c r="F41" s="1">
        <v>77</v>
      </c>
      <c r="G41" s="1">
        <v>290</v>
      </c>
      <c r="H41" s="1" t="s">
        <v>66</v>
      </c>
      <c r="I41" s="1"/>
      <c r="J41" s="1" t="s">
        <v>61</v>
      </c>
      <c r="K41" s="1"/>
      <c r="L41" s="1" t="s">
        <v>58</v>
      </c>
    </row>
    <row r="42" spans="1:12" x14ac:dyDescent="0.35">
      <c r="A42" s="1" t="s">
        <v>18</v>
      </c>
      <c r="B42" s="1" t="s">
        <v>139</v>
      </c>
      <c r="C42" s="1" t="s">
        <v>113</v>
      </c>
      <c r="D42" s="1">
        <v>1428</v>
      </c>
      <c r="E42" s="1">
        <v>114</v>
      </c>
      <c r="F42" s="1">
        <v>1335</v>
      </c>
      <c r="G42" s="1">
        <v>1481</v>
      </c>
      <c r="H42" s="1" t="s">
        <v>66</v>
      </c>
      <c r="I42" s="1"/>
      <c r="J42" s="1" t="s">
        <v>61</v>
      </c>
      <c r="K42" s="1"/>
      <c r="L42" s="1" t="s">
        <v>58</v>
      </c>
    </row>
    <row r="43" spans="1:12" ht="29" x14ac:dyDescent="0.35">
      <c r="A43" s="1" t="s">
        <v>37</v>
      </c>
      <c r="B43" s="1" t="s">
        <v>139</v>
      </c>
      <c r="C43" s="1" t="s">
        <v>112</v>
      </c>
      <c r="D43" s="1">
        <v>0.35</v>
      </c>
      <c r="E43" s="1">
        <v>7.0000000000000007E-2</v>
      </c>
      <c r="F43" s="1"/>
      <c r="G43" s="1"/>
      <c r="H43" s="1" t="s">
        <v>45</v>
      </c>
      <c r="I43" s="1"/>
      <c r="J43" s="1" t="s">
        <v>62</v>
      </c>
      <c r="K43" s="1"/>
      <c r="L43" s="1" t="s">
        <v>58</v>
      </c>
    </row>
    <row r="44" spans="1:12" x14ac:dyDescent="0.35">
      <c r="A44" s="1" t="s">
        <v>14</v>
      </c>
      <c r="B44" s="1" t="s">
        <v>139</v>
      </c>
      <c r="C44" s="1" t="s">
        <v>111</v>
      </c>
      <c r="D44" s="1">
        <v>45</v>
      </c>
      <c r="E44" s="1">
        <v>5</v>
      </c>
      <c r="F44" s="1"/>
      <c r="G44" s="1"/>
      <c r="H44" s="1" t="s">
        <v>44</v>
      </c>
      <c r="I44" s="1"/>
      <c r="J44" s="1" t="s">
        <v>60</v>
      </c>
      <c r="K44" s="1"/>
      <c r="L44" s="1" t="s">
        <v>58</v>
      </c>
    </row>
    <row r="45" spans="1:12" x14ac:dyDescent="0.35">
      <c r="A45" s="1" t="s">
        <v>19</v>
      </c>
      <c r="B45" s="1" t="s">
        <v>139</v>
      </c>
      <c r="C45" s="1"/>
      <c r="D45" s="1">
        <v>6</v>
      </c>
      <c r="E45" s="1">
        <v>0.06</v>
      </c>
      <c r="F45" s="1"/>
      <c r="G45" s="1"/>
      <c r="H45" s="3" t="s">
        <v>64</v>
      </c>
      <c r="I45" s="3"/>
      <c r="J45" s="1" t="s">
        <v>60</v>
      </c>
      <c r="K45" s="1"/>
      <c r="L45" s="1" t="s">
        <v>58</v>
      </c>
    </row>
    <row r="46" spans="1:12" ht="43.5" x14ac:dyDescent="0.35">
      <c r="A46" s="1" t="s">
        <v>40</v>
      </c>
      <c r="B46" s="1" t="s">
        <v>139</v>
      </c>
      <c r="C46" s="1" t="s">
        <v>112</v>
      </c>
      <c r="D46" s="1">
        <v>10.204700000000001</v>
      </c>
      <c r="E46" s="1">
        <v>1.2E-2</v>
      </c>
      <c r="F46" s="1"/>
      <c r="G46" s="1"/>
      <c r="H46" s="1" t="s">
        <v>125</v>
      </c>
      <c r="I46" s="1"/>
      <c r="J46" s="1" t="s">
        <v>63</v>
      </c>
      <c r="K46" s="1"/>
      <c r="L46" s="1" t="s">
        <v>58</v>
      </c>
    </row>
    <row r="47" spans="1:12" ht="29" x14ac:dyDescent="0.35">
      <c r="A47" s="1" t="s">
        <v>41</v>
      </c>
      <c r="B47" s="1" t="s">
        <v>139</v>
      </c>
      <c r="C47" s="1" t="s">
        <v>112</v>
      </c>
      <c r="D47" s="1">
        <v>10.204700000000001</v>
      </c>
      <c r="E47" s="1">
        <v>1.2E-2</v>
      </c>
      <c r="F47" s="1"/>
      <c r="G47" s="1"/>
      <c r="H47" s="1" t="s">
        <v>97</v>
      </c>
      <c r="I47" s="1" t="s">
        <v>98</v>
      </c>
      <c r="J47" s="1" t="s">
        <v>63</v>
      </c>
      <c r="K47" s="1"/>
      <c r="L47" s="1" t="s">
        <v>58</v>
      </c>
    </row>
    <row r="48" spans="1:12" x14ac:dyDescent="0.35">
      <c r="A48" s="1" t="s">
        <v>11</v>
      </c>
      <c r="B48" s="1" t="s">
        <v>139</v>
      </c>
      <c r="C48" s="1" t="s">
        <v>110</v>
      </c>
      <c r="D48" s="1">
        <v>20</v>
      </c>
      <c r="E48" s="1">
        <v>4</v>
      </c>
      <c r="F48" s="1"/>
      <c r="G48" s="1"/>
      <c r="H48" s="1" t="s">
        <v>42</v>
      </c>
      <c r="I48" s="1"/>
      <c r="J48" s="1" t="s">
        <v>60</v>
      </c>
      <c r="K48" s="1"/>
      <c r="L48" s="1" t="s">
        <v>58</v>
      </c>
    </row>
    <row r="49" spans="1:12" ht="43.5" x14ac:dyDescent="0.35">
      <c r="A49" s="1" t="s">
        <v>13</v>
      </c>
      <c r="B49" s="1" t="s">
        <v>139</v>
      </c>
      <c r="C49" s="1" t="s">
        <v>116</v>
      </c>
      <c r="D49" s="1">
        <v>0.1</v>
      </c>
      <c r="E49" s="1">
        <v>0.02</v>
      </c>
      <c r="F49" s="1"/>
      <c r="G49" s="1"/>
      <c r="H49" s="1" t="s">
        <v>43</v>
      </c>
      <c r="I49" s="1"/>
      <c r="J49" s="1" t="s">
        <v>60</v>
      </c>
      <c r="K49" s="1"/>
      <c r="L49" s="1" t="s">
        <v>58</v>
      </c>
    </row>
    <row r="50" spans="1:12" x14ac:dyDescent="0.35">
      <c r="A50" s="1" t="s">
        <v>51</v>
      </c>
      <c r="B50" s="1" t="s">
        <v>48</v>
      </c>
      <c r="C50" s="1" t="s">
        <v>112</v>
      </c>
      <c r="D50" s="1">
        <v>0.5</v>
      </c>
      <c r="E50" s="7"/>
      <c r="F50" s="7">
        <v>0.5</v>
      </c>
      <c r="G50" s="7">
        <v>0.5</v>
      </c>
      <c r="H50" s="1" t="s">
        <v>138</v>
      </c>
      <c r="I50" s="1" t="s">
        <v>70</v>
      </c>
      <c r="J50" s="1" t="s">
        <v>62</v>
      </c>
      <c r="K50" s="1"/>
      <c r="L50" s="1" t="s">
        <v>58</v>
      </c>
    </row>
    <row r="51" spans="1:12" x14ac:dyDescent="0.35">
      <c r="A51" s="1" t="s">
        <v>20</v>
      </c>
      <c r="B51" s="1" t="s">
        <v>48</v>
      </c>
      <c r="C51" s="1" t="s">
        <v>114</v>
      </c>
      <c r="D51" s="7">
        <v>1410</v>
      </c>
      <c r="E51" s="7">
        <v>2820</v>
      </c>
      <c r="F51" s="7">
        <v>1370</v>
      </c>
      <c r="G51" s="7">
        <v>1450</v>
      </c>
      <c r="H51" s="7" t="s">
        <v>135</v>
      </c>
      <c r="I51" s="1" t="s">
        <v>72</v>
      </c>
      <c r="J51" s="1" t="s">
        <v>60</v>
      </c>
      <c r="K51" s="1"/>
      <c r="L51" s="1" t="s">
        <v>58</v>
      </c>
    </row>
    <row r="52" spans="1:12" ht="43.5" x14ac:dyDescent="0.35">
      <c r="A52" s="1" t="s">
        <v>49</v>
      </c>
      <c r="B52" s="1" t="s">
        <v>48</v>
      </c>
      <c r="C52" s="1" t="s">
        <v>115</v>
      </c>
      <c r="D52" s="9">
        <v>1.384623481E-3</v>
      </c>
      <c r="E52" s="9">
        <v>5.4402432010000005E-4</v>
      </c>
      <c r="F52" s="9">
        <v>7.1040402530000003E-4</v>
      </c>
      <c r="G52" s="9">
        <v>1.936006955E-3</v>
      </c>
      <c r="H52" s="7" t="s">
        <v>136</v>
      </c>
      <c r="I52" s="1" t="s">
        <v>72</v>
      </c>
      <c r="J52" s="1" t="s">
        <v>62</v>
      </c>
      <c r="K52" s="1"/>
      <c r="L52" s="1" t="s">
        <v>58</v>
      </c>
    </row>
    <row r="53" spans="1:12" ht="15.5" x14ac:dyDescent="0.35">
      <c r="A53" s="1" t="s">
        <v>50</v>
      </c>
      <c r="B53" s="1" t="s">
        <v>48</v>
      </c>
      <c r="C53" s="1" t="s">
        <v>112</v>
      </c>
      <c r="D53" s="7">
        <f>0.0181818181818182/state_variables_value!D5</f>
        <v>0.18181818181818196</v>
      </c>
      <c r="E53" s="7">
        <v>3.6363636363636362E-2</v>
      </c>
      <c r="F53" s="7"/>
      <c r="G53" s="7"/>
      <c r="H53" s="10" t="s">
        <v>137</v>
      </c>
      <c r="I53" s="1" t="s">
        <v>71</v>
      </c>
      <c r="J53" s="1" t="s">
        <v>62</v>
      </c>
      <c r="K53" s="1"/>
      <c r="L53" s="1" t="s">
        <v>58</v>
      </c>
    </row>
    <row r="54" spans="1:12" ht="29" x14ac:dyDescent="0.35">
      <c r="A54" s="1" t="s">
        <v>53</v>
      </c>
      <c r="B54" s="1" t="s">
        <v>48</v>
      </c>
      <c r="C54" s="1" t="s">
        <v>117</v>
      </c>
      <c r="D54" s="4">
        <v>2.7399999999999999E-5</v>
      </c>
      <c r="E54" s="1">
        <v>5.4799999999999997E-5</v>
      </c>
      <c r="F54" s="7"/>
      <c r="G54" s="7"/>
      <c r="H54" s="1" t="s">
        <v>68</v>
      </c>
      <c r="I54" s="1" t="s">
        <v>70</v>
      </c>
      <c r="J54" s="1" t="s">
        <v>63</v>
      </c>
      <c r="K54" s="1"/>
      <c r="L54" s="1" t="s">
        <v>58</v>
      </c>
    </row>
    <row r="55" spans="1:12" x14ac:dyDescent="0.35">
      <c r="A55" s="1" t="s">
        <v>54</v>
      </c>
      <c r="B55" s="1" t="s">
        <v>48</v>
      </c>
      <c r="C55" s="1" t="s">
        <v>115</v>
      </c>
      <c r="D55" s="4">
        <v>1.2999999999999999E-5</v>
      </c>
      <c r="E55" s="1">
        <v>2.5999999999999998E-5</v>
      </c>
      <c r="F55" s="7"/>
      <c r="G55" s="7"/>
      <c r="H55" s="1" t="s">
        <v>68</v>
      </c>
      <c r="I55" s="1" t="s">
        <v>70</v>
      </c>
      <c r="J55" s="1" t="s">
        <v>63</v>
      </c>
      <c r="K55" s="1"/>
      <c r="L55" s="1" t="s">
        <v>58</v>
      </c>
    </row>
    <row r="56" spans="1:12" x14ac:dyDescent="0.35">
      <c r="A56" s="1" t="s">
        <v>10</v>
      </c>
      <c r="B56" s="1" t="s">
        <v>48</v>
      </c>
      <c r="C56" s="1" t="s">
        <v>110</v>
      </c>
      <c r="D56" s="1">
        <v>12.954660000000001</v>
      </c>
      <c r="E56" s="1">
        <v>0.80562500000000004</v>
      </c>
      <c r="F56" s="7"/>
      <c r="G56" s="7"/>
      <c r="H56" s="12" t="s">
        <v>141</v>
      </c>
      <c r="I56" s="1"/>
      <c r="J56" s="1" t="s">
        <v>60</v>
      </c>
      <c r="K56" s="1"/>
      <c r="L56" s="1" t="s">
        <v>58</v>
      </c>
    </row>
    <row r="57" spans="1:12" ht="43.5" x14ac:dyDescent="0.35">
      <c r="A57" s="1" t="s">
        <v>12</v>
      </c>
      <c r="B57" s="1" t="s">
        <v>48</v>
      </c>
      <c r="C57" s="1" t="s">
        <v>116</v>
      </c>
      <c r="D57" s="1">
        <v>0.17</v>
      </c>
      <c r="E57" s="1"/>
      <c r="F57" s="7">
        <v>0.15</v>
      </c>
      <c r="G57" s="7">
        <v>0.2</v>
      </c>
      <c r="H57" s="7" t="s">
        <v>127</v>
      </c>
      <c r="I57" s="1" t="s">
        <v>72</v>
      </c>
      <c r="J57" s="1" t="s">
        <v>60</v>
      </c>
      <c r="K57" s="1"/>
      <c r="L57" s="1" t="s">
        <v>58</v>
      </c>
    </row>
    <row r="58" spans="1:12" x14ac:dyDescent="0.35">
      <c r="A58" s="1" t="s">
        <v>17</v>
      </c>
      <c r="B58" s="1" t="s">
        <v>48</v>
      </c>
      <c r="C58" s="1" t="s">
        <v>113</v>
      </c>
      <c r="D58" s="7">
        <v>433.83</v>
      </c>
      <c r="E58" s="7">
        <v>210.79</v>
      </c>
      <c r="F58" s="7">
        <v>124.2</v>
      </c>
      <c r="G58" s="7">
        <v>905.48</v>
      </c>
      <c r="H58" s="7" t="s">
        <v>132</v>
      </c>
      <c r="I58" s="1" t="s">
        <v>72</v>
      </c>
      <c r="J58" s="1" t="s">
        <v>61</v>
      </c>
      <c r="K58" s="1"/>
      <c r="L58" s="1" t="s">
        <v>58</v>
      </c>
    </row>
    <row r="59" spans="1:12" x14ac:dyDescent="0.35">
      <c r="A59" s="1" t="s">
        <v>18</v>
      </c>
      <c r="B59" s="1" t="s">
        <v>48</v>
      </c>
      <c r="C59" s="1" t="s">
        <v>113</v>
      </c>
      <c r="D59" s="1">
        <v>0</v>
      </c>
      <c r="E59" s="1">
        <v>0</v>
      </c>
      <c r="F59" s="7"/>
      <c r="G59" s="7"/>
      <c r="H59" s="7" t="s">
        <v>133</v>
      </c>
      <c r="I59" s="1" t="s">
        <v>72</v>
      </c>
      <c r="J59" s="1" t="s">
        <v>61</v>
      </c>
      <c r="K59" s="1"/>
      <c r="L59" s="1" t="s">
        <v>58</v>
      </c>
    </row>
    <row r="60" spans="1:12" x14ac:dyDescent="0.35">
      <c r="A60" s="1" t="s">
        <v>52</v>
      </c>
      <c r="B60" s="1" t="s">
        <v>48</v>
      </c>
      <c r="C60" s="1"/>
      <c r="D60" s="1">
        <v>0.37</v>
      </c>
      <c r="E60" s="7"/>
      <c r="F60" s="7">
        <v>0.37</v>
      </c>
      <c r="G60" s="7">
        <v>0.37</v>
      </c>
      <c r="H60" s="1" t="s">
        <v>138</v>
      </c>
      <c r="I60" s="1" t="s">
        <v>70</v>
      </c>
      <c r="J60" s="1" t="s">
        <v>62</v>
      </c>
      <c r="K60" s="1"/>
      <c r="L60" s="1" t="s">
        <v>58</v>
      </c>
    </row>
    <row r="61" spans="1:12" ht="58" x14ac:dyDescent="0.35">
      <c r="A61" s="1" t="s">
        <v>14</v>
      </c>
      <c r="B61" s="1" t="s">
        <v>48</v>
      </c>
      <c r="C61" s="1" t="s">
        <v>111</v>
      </c>
      <c r="D61" s="1">
        <v>70</v>
      </c>
      <c r="E61" s="1"/>
      <c r="F61" s="7">
        <v>70</v>
      </c>
      <c r="G61" s="7">
        <v>100</v>
      </c>
      <c r="H61" s="7" t="s">
        <v>129</v>
      </c>
      <c r="I61" s="1" t="s">
        <v>72</v>
      </c>
      <c r="J61" s="1" t="s">
        <v>60</v>
      </c>
      <c r="K61" s="1"/>
      <c r="L61" s="1" t="s">
        <v>58</v>
      </c>
    </row>
    <row r="62" spans="1:12" ht="29" x14ac:dyDescent="0.35">
      <c r="A62" s="1" t="s">
        <v>19</v>
      </c>
      <c r="B62" s="1" t="s">
        <v>48</v>
      </c>
      <c r="C62" s="1"/>
      <c r="D62" s="7">
        <v>7</v>
      </c>
      <c r="E62" s="7"/>
      <c r="F62" s="7">
        <v>5</v>
      </c>
      <c r="G62" s="7">
        <v>9</v>
      </c>
      <c r="H62" s="7" t="s">
        <v>134</v>
      </c>
      <c r="I62" s="1" t="s">
        <v>72</v>
      </c>
      <c r="J62" s="1" t="s">
        <v>60</v>
      </c>
      <c r="K62" s="1"/>
      <c r="L62" s="1" t="s">
        <v>58</v>
      </c>
    </row>
    <row r="63" spans="1:12" x14ac:dyDescent="0.35">
      <c r="A63" s="1" t="s">
        <v>11</v>
      </c>
      <c r="B63" s="1" t="s">
        <v>48</v>
      </c>
      <c r="C63" s="1" t="s">
        <v>110</v>
      </c>
      <c r="D63" s="8">
        <v>6.7212500000000004</v>
      </c>
      <c r="E63" s="8">
        <v>0.63642900000000002</v>
      </c>
      <c r="F63" s="7"/>
      <c r="G63" s="7"/>
      <c r="H63" s="12" t="s">
        <v>141</v>
      </c>
      <c r="I63" s="1"/>
      <c r="J63" s="1" t="s">
        <v>60</v>
      </c>
      <c r="K63" s="1"/>
      <c r="L63" s="1" t="s">
        <v>58</v>
      </c>
    </row>
    <row r="64" spans="1:12" ht="43.5" x14ac:dyDescent="0.35">
      <c r="A64" s="1" t="s">
        <v>13</v>
      </c>
      <c r="B64" s="1" t="s">
        <v>48</v>
      </c>
      <c r="C64" s="1" t="s">
        <v>116</v>
      </c>
      <c r="D64" s="1">
        <v>0.15</v>
      </c>
      <c r="E64" s="1">
        <v>0.3</v>
      </c>
      <c r="F64" s="7">
        <v>0.05</v>
      </c>
      <c r="G64" s="7">
        <v>0.2</v>
      </c>
      <c r="H64" s="7" t="s">
        <v>128</v>
      </c>
      <c r="I64" s="1" t="s">
        <v>72</v>
      </c>
      <c r="J64" s="1" t="s">
        <v>60</v>
      </c>
      <c r="K64" s="1"/>
      <c r="L64" s="1" t="s">
        <v>58</v>
      </c>
    </row>
  </sheetData>
  <hyperlinks>
    <hyperlink ref="H63" r:id="rId1" tooltip="https://doi.org/10.6073/pasta/d81b100b0737880b7950ec0d93625da9" display="https://doi.org/10.6073/pasta/d81b100b0737880b7950ec0d93625da9" xr:uid="{F06A8F72-DA38-474C-B99F-04A053E543B4}"/>
    <hyperlink ref="H56" r:id="rId2" tooltip="https://doi.org/10.6073/pasta/d81b100b0737880b7950ec0d93625da9" display="https://doi.org/10.6073/pasta/d81b100b0737880b7950ec0d93625da9" xr:uid="{D2FB903B-7E32-4BBC-AD7C-E11D67A82484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10C0-AB94-4FBF-AB29-E5085BC4F559}">
  <dimension ref="A1:F20"/>
  <sheetViews>
    <sheetView topLeftCell="B1" zoomScale="190" zoomScaleNormal="190" workbookViewId="0">
      <selection activeCell="D3" sqref="D3"/>
    </sheetView>
  </sheetViews>
  <sheetFormatPr defaultRowHeight="14.5" x14ac:dyDescent="0.35"/>
  <cols>
    <col min="1" max="1" width="11.7265625" customWidth="1"/>
    <col min="2" max="2" width="20" bestFit="1" customWidth="1"/>
    <col min="3" max="3" width="13.81640625" customWidth="1"/>
    <col min="4" max="4" width="12" customWidth="1"/>
    <col min="5" max="5" width="35.7265625" bestFit="1" customWidth="1"/>
  </cols>
  <sheetData>
    <row r="1" spans="1:6" x14ac:dyDescent="0.35">
      <c r="A1" t="s">
        <v>74</v>
      </c>
      <c r="B1" t="s">
        <v>1</v>
      </c>
      <c r="C1" t="s">
        <v>75</v>
      </c>
      <c r="D1" t="s">
        <v>76</v>
      </c>
      <c r="E1" t="s">
        <v>4</v>
      </c>
      <c r="F1" t="s">
        <v>57</v>
      </c>
    </row>
    <row r="2" spans="1:6" x14ac:dyDescent="0.35">
      <c r="A2" t="s">
        <v>77</v>
      </c>
      <c r="B2" t="s">
        <v>33</v>
      </c>
      <c r="C2" t="s">
        <v>33</v>
      </c>
      <c r="D2">
        <f xml:space="preserve"> 172*0.3*0.25*0.5</f>
        <v>6.45</v>
      </c>
      <c r="E2" t="s">
        <v>126</v>
      </c>
      <c r="F2" t="s">
        <v>58</v>
      </c>
    </row>
    <row r="3" spans="1:6" x14ac:dyDescent="0.35">
      <c r="A3" t="s">
        <v>77</v>
      </c>
      <c r="B3" t="s">
        <v>34</v>
      </c>
      <c r="C3" t="s">
        <v>9</v>
      </c>
      <c r="D3">
        <f xml:space="preserve"> 122*0.005*0.5</f>
        <v>0.30499999999999999</v>
      </c>
      <c r="E3" t="s">
        <v>143</v>
      </c>
      <c r="F3" t="s">
        <v>58</v>
      </c>
    </row>
    <row r="4" spans="1:6" x14ac:dyDescent="0.35">
      <c r="A4" t="s">
        <v>77</v>
      </c>
      <c r="B4" s="11" t="s">
        <v>139</v>
      </c>
      <c r="C4" t="s">
        <v>9</v>
      </c>
      <c r="D4">
        <v>0.1</v>
      </c>
      <c r="E4" t="s">
        <v>96</v>
      </c>
      <c r="F4" t="s">
        <v>58</v>
      </c>
    </row>
    <row r="5" spans="1:6" x14ac:dyDescent="0.35">
      <c r="A5" t="s">
        <v>77</v>
      </c>
      <c r="B5" t="s">
        <v>48</v>
      </c>
      <c r="C5" t="s">
        <v>8</v>
      </c>
      <c r="D5">
        <v>0.1</v>
      </c>
      <c r="E5" t="s">
        <v>95</v>
      </c>
      <c r="F5" t="s">
        <v>58</v>
      </c>
    </row>
    <row r="6" spans="1:6" x14ac:dyDescent="0.35">
      <c r="A6" t="s">
        <v>77</v>
      </c>
      <c r="B6" t="s">
        <v>77</v>
      </c>
      <c r="C6" t="s">
        <v>91</v>
      </c>
      <c r="D6">
        <v>200</v>
      </c>
      <c r="E6" t="s">
        <v>94</v>
      </c>
      <c r="F6" t="s">
        <v>58</v>
      </c>
    </row>
    <row r="7" spans="1:6" x14ac:dyDescent="0.35">
      <c r="A7" t="s">
        <v>77</v>
      </c>
      <c r="B7" t="s">
        <v>77</v>
      </c>
      <c r="C7" t="s">
        <v>92</v>
      </c>
      <c r="D7">
        <v>200</v>
      </c>
      <c r="E7" t="s">
        <v>94</v>
      </c>
      <c r="F7" t="s">
        <v>58</v>
      </c>
    </row>
    <row r="8" spans="1:6" x14ac:dyDescent="0.35">
      <c r="A8" t="s">
        <v>77</v>
      </c>
      <c r="B8" t="s">
        <v>77</v>
      </c>
      <c r="C8" t="s">
        <v>78</v>
      </c>
      <c r="D8">
        <v>750</v>
      </c>
      <c r="E8" t="s">
        <v>94</v>
      </c>
      <c r="F8" t="s">
        <v>58</v>
      </c>
    </row>
    <row r="9" spans="1:6" x14ac:dyDescent="0.35">
      <c r="A9" t="s">
        <v>77</v>
      </c>
      <c r="B9" t="s">
        <v>77</v>
      </c>
      <c r="C9" t="s">
        <v>79</v>
      </c>
      <c r="D9">
        <v>6750</v>
      </c>
      <c r="E9" t="s">
        <v>94</v>
      </c>
      <c r="F9" t="s">
        <v>58</v>
      </c>
    </row>
    <row r="10" spans="1:6" x14ac:dyDescent="0.35">
      <c r="A10" t="s">
        <v>77</v>
      </c>
      <c r="B10" t="s">
        <v>77</v>
      </c>
      <c r="C10" t="s">
        <v>80</v>
      </c>
      <c r="D10">
        <v>2500</v>
      </c>
      <c r="E10" t="s">
        <v>94</v>
      </c>
      <c r="F10" t="s">
        <v>58</v>
      </c>
    </row>
    <row r="11" spans="1:6" x14ac:dyDescent="0.35">
      <c r="A11" t="s">
        <v>93</v>
      </c>
      <c r="B11" t="s">
        <v>77</v>
      </c>
      <c r="C11" t="s">
        <v>81</v>
      </c>
      <c r="D11">
        <v>200</v>
      </c>
      <c r="E11" t="s">
        <v>94</v>
      </c>
      <c r="F11" t="s">
        <v>58</v>
      </c>
    </row>
    <row r="12" spans="1:6" x14ac:dyDescent="0.35">
      <c r="A12" t="s">
        <v>93</v>
      </c>
      <c r="B12" t="s">
        <v>77</v>
      </c>
      <c r="C12" t="s">
        <v>82</v>
      </c>
      <c r="D12">
        <v>1000</v>
      </c>
      <c r="E12" t="s">
        <v>94</v>
      </c>
      <c r="F12" t="s">
        <v>58</v>
      </c>
    </row>
    <row r="13" spans="1:6" x14ac:dyDescent="0.35">
      <c r="A13" t="s">
        <v>93</v>
      </c>
      <c r="B13" t="s">
        <v>77</v>
      </c>
      <c r="C13" t="s">
        <v>83</v>
      </c>
      <c r="D13">
        <v>2000</v>
      </c>
      <c r="E13" t="s">
        <v>94</v>
      </c>
      <c r="F13" t="s">
        <v>58</v>
      </c>
    </row>
    <row r="14" spans="1:6" x14ac:dyDescent="0.35">
      <c r="A14" t="s">
        <v>93</v>
      </c>
      <c r="B14" t="s">
        <v>77</v>
      </c>
      <c r="C14" t="s">
        <v>84</v>
      </c>
      <c r="D14">
        <v>10</v>
      </c>
      <c r="E14" t="s">
        <v>94</v>
      </c>
      <c r="F14" t="s">
        <v>58</v>
      </c>
    </row>
    <row r="15" spans="1:6" x14ac:dyDescent="0.35">
      <c r="A15" t="s">
        <v>93</v>
      </c>
      <c r="B15" t="s">
        <v>77</v>
      </c>
      <c r="C15" t="s">
        <v>85</v>
      </c>
      <c r="D15">
        <v>0.1</v>
      </c>
      <c r="E15" t="s">
        <v>94</v>
      </c>
      <c r="F15" t="s">
        <v>58</v>
      </c>
    </row>
    <row r="16" spans="1:6" x14ac:dyDescent="0.35">
      <c r="A16" t="s">
        <v>93</v>
      </c>
      <c r="B16" t="s">
        <v>77</v>
      </c>
      <c r="C16" t="s">
        <v>86</v>
      </c>
      <c r="D16">
        <v>400</v>
      </c>
      <c r="E16" t="s">
        <v>94</v>
      </c>
      <c r="F16" t="s">
        <v>58</v>
      </c>
    </row>
    <row r="17" spans="1:6" x14ac:dyDescent="0.35">
      <c r="A17" t="s">
        <v>93</v>
      </c>
      <c r="B17" t="s">
        <v>77</v>
      </c>
      <c r="C17" t="s">
        <v>87</v>
      </c>
      <c r="D17">
        <v>10</v>
      </c>
      <c r="E17" t="s">
        <v>94</v>
      </c>
      <c r="F17" t="s">
        <v>58</v>
      </c>
    </row>
    <row r="18" spans="1:6" x14ac:dyDescent="0.35">
      <c r="A18" t="s">
        <v>93</v>
      </c>
      <c r="B18" t="s">
        <v>77</v>
      </c>
      <c r="C18" t="s">
        <v>88</v>
      </c>
      <c r="D18">
        <v>1000</v>
      </c>
      <c r="E18" t="s">
        <v>94</v>
      </c>
      <c r="F18" t="s">
        <v>58</v>
      </c>
    </row>
    <row r="19" spans="1:6" x14ac:dyDescent="0.35">
      <c r="A19" t="s">
        <v>93</v>
      </c>
      <c r="B19" t="s">
        <v>77</v>
      </c>
      <c r="C19" t="s">
        <v>89</v>
      </c>
      <c r="D19">
        <v>3000</v>
      </c>
      <c r="E19" t="s">
        <v>94</v>
      </c>
      <c r="F19" t="s">
        <v>58</v>
      </c>
    </row>
    <row r="20" spans="1:6" x14ac:dyDescent="0.35">
      <c r="A20" t="s">
        <v>93</v>
      </c>
      <c r="B20" t="s">
        <v>77</v>
      </c>
      <c r="C20" t="s">
        <v>90</v>
      </c>
      <c r="D20">
        <v>40</v>
      </c>
      <c r="E20" t="s">
        <v>94</v>
      </c>
      <c r="F2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2590-26D0-4168-8E7C-B448CD67FE47}">
  <dimension ref="A1:C21"/>
  <sheetViews>
    <sheetView tabSelected="1" zoomScale="205" zoomScaleNormal="205" workbookViewId="0">
      <selection activeCell="B2" sqref="B2"/>
    </sheetView>
  </sheetViews>
  <sheetFormatPr defaultRowHeight="14.5" x14ac:dyDescent="0.35"/>
  <cols>
    <col min="1" max="1" width="11.7265625" bestFit="1" customWidth="1"/>
    <col min="2" max="2" width="20" bestFit="1" customWidth="1"/>
  </cols>
  <sheetData>
    <row r="1" spans="1:3" x14ac:dyDescent="0.35">
      <c r="A1" t="s">
        <v>75</v>
      </c>
      <c r="B1" t="s">
        <v>1</v>
      </c>
      <c r="C1" t="s">
        <v>100</v>
      </c>
    </row>
    <row r="2" spans="1:3" x14ac:dyDescent="0.35">
      <c r="A2" t="s">
        <v>5</v>
      </c>
      <c r="B2" t="s">
        <v>33</v>
      </c>
      <c r="C2">
        <v>1</v>
      </c>
    </row>
    <row r="3" spans="1:3" x14ac:dyDescent="0.35">
      <c r="A3" t="s">
        <v>6</v>
      </c>
      <c r="B3" t="s">
        <v>33</v>
      </c>
      <c r="C3">
        <v>1</v>
      </c>
    </row>
    <row r="4" spans="1:3" x14ac:dyDescent="0.35">
      <c r="A4" t="s">
        <v>7</v>
      </c>
      <c r="B4" t="s">
        <v>33</v>
      </c>
      <c r="C4">
        <v>1</v>
      </c>
    </row>
    <row r="5" spans="1:3" x14ac:dyDescent="0.35">
      <c r="A5" t="s">
        <v>8</v>
      </c>
      <c r="B5" t="s">
        <v>33</v>
      </c>
      <c r="C5">
        <v>0</v>
      </c>
    </row>
    <row r="6" spans="1:3" x14ac:dyDescent="0.35">
      <c r="A6" t="s">
        <v>9</v>
      </c>
      <c r="B6" t="s">
        <v>33</v>
      </c>
      <c r="C6">
        <v>0</v>
      </c>
    </row>
    <row r="7" spans="1:3" x14ac:dyDescent="0.35">
      <c r="A7" t="s">
        <v>5</v>
      </c>
      <c r="B7" t="s">
        <v>34</v>
      </c>
      <c r="C7">
        <v>0</v>
      </c>
    </row>
    <row r="8" spans="1:3" x14ac:dyDescent="0.35">
      <c r="A8" t="s">
        <v>6</v>
      </c>
      <c r="B8" t="s">
        <v>34</v>
      </c>
      <c r="C8">
        <v>1</v>
      </c>
    </row>
    <row r="9" spans="1:3" x14ac:dyDescent="0.35">
      <c r="A9" t="s">
        <v>7</v>
      </c>
      <c r="B9" t="s">
        <v>34</v>
      </c>
      <c r="C9">
        <v>0</v>
      </c>
    </row>
    <row r="10" spans="1:3" x14ac:dyDescent="0.35">
      <c r="A10" t="s">
        <v>8</v>
      </c>
      <c r="B10" t="s">
        <v>34</v>
      </c>
      <c r="C10">
        <v>0</v>
      </c>
    </row>
    <row r="11" spans="1:3" x14ac:dyDescent="0.35">
      <c r="A11" t="s">
        <v>9</v>
      </c>
      <c r="B11" t="s">
        <v>34</v>
      </c>
      <c r="C11">
        <v>1</v>
      </c>
    </row>
    <row r="12" spans="1:3" x14ac:dyDescent="0.35">
      <c r="A12" t="s">
        <v>5</v>
      </c>
      <c r="B12" t="s">
        <v>139</v>
      </c>
      <c r="C12">
        <v>1</v>
      </c>
    </row>
    <row r="13" spans="1:3" x14ac:dyDescent="0.35">
      <c r="A13" t="s">
        <v>6</v>
      </c>
      <c r="B13" t="s">
        <v>139</v>
      </c>
      <c r="C13">
        <v>1</v>
      </c>
    </row>
    <row r="14" spans="1:3" x14ac:dyDescent="0.35">
      <c r="A14" t="s">
        <v>7</v>
      </c>
      <c r="B14" t="s">
        <v>139</v>
      </c>
      <c r="C14">
        <v>0</v>
      </c>
    </row>
    <row r="15" spans="1:3" x14ac:dyDescent="0.35">
      <c r="A15" t="s">
        <v>8</v>
      </c>
      <c r="B15" t="s">
        <v>139</v>
      </c>
      <c r="C15">
        <v>0</v>
      </c>
    </row>
    <row r="16" spans="1:3" x14ac:dyDescent="0.35">
      <c r="A16" t="s">
        <v>9</v>
      </c>
      <c r="B16" t="s">
        <v>139</v>
      </c>
      <c r="C16">
        <v>1</v>
      </c>
    </row>
    <row r="17" spans="1:3" x14ac:dyDescent="0.35">
      <c r="A17" t="s">
        <v>5</v>
      </c>
      <c r="B17" t="s">
        <v>48</v>
      </c>
      <c r="C17">
        <v>0</v>
      </c>
    </row>
    <row r="18" spans="1:3" x14ac:dyDescent="0.35">
      <c r="A18" t="s">
        <v>6</v>
      </c>
      <c r="B18" t="s">
        <v>48</v>
      </c>
      <c r="C18">
        <v>1</v>
      </c>
    </row>
    <row r="19" spans="1:3" x14ac:dyDescent="0.35">
      <c r="A19" t="s">
        <v>7</v>
      </c>
      <c r="B19" t="s">
        <v>48</v>
      </c>
      <c r="C19">
        <v>0</v>
      </c>
    </row>
    <row r="20" spans="1:3" x14ac:dyDescent="0.35">
      <c r="A20" t="s">
        <v>8</v>
      </c>
      <c r="B20" t="s">
        <v>48</v>
      </c>
      <c r="C20">
        <v>1</v>
      </c>
    </row>
    <row r="21" spans="1:3" x14ac:dyDescent="0.35">
      <c r="A21" t="s">
        <v>9</v>
      </c>
      <c r="B21" t="s">
        <v>48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3703-44E3-4DF2-AACF-D4D2788B63CA}">
  <dimension ref="A16:L28"/>
  <sheetViews>
    <sheetView workbookViewId="0">
      <selection activeCell="A25" sqref="A25:L28"/>
    </sheetView>
  </sheetViews>
  <sheetFormatPr defaultRowHeight="14.5" x14ac:dyDescent="0.35"/>
  <sheetData>
    <row r="16" spans="1:12" ht="72.5" x14ac:dyDescent="0.35">
      <c r="A16" s="15" t="s">
        <v>15</v>
      </c>
      <c r="B16" s="11" t="s">
        <v>33</v>
      </c>
      <c r="C16" s="11" t="s">
        <v>112</v>
      </c>
      <c r="D16" s="11">
        <v>0.28000000000000003</v>
      </c>
      <c r="E16" s="11"/>
      <c r="F16" s="11">
        <v>0.26</v>
      </c>
      <c r="G16" s="11">
        <v>0.33</v>
      </c>
      <c r="H16" s="11" t="s">
        <v>102</v>
      </c>
      <c r="I16" s="11"/>
      <c r="J16" s="11" t="s">
        <v>60</v>
      </c>
      <c r="K16" s="11"/>
      <c r="L16" s="16" t="s">
        <v>58</v>
      </c>
    </row>
    <row r="17" spans="1:12" ht="29" x14ac:dyDescent="0.35">
      <c r="A17" s="17" t="s">
        <v>15</v>
      </c>
      <c r="B17" s="18" t="s">
        <v>34</v>
      </c>
      <c r="C17" s="18" t="s">
        <v>112</v>
      </c>
      <c r="D17" s="18">
        <v>0.4</v>
      </c>
      <c r="E17" s="18"/>
      <c r="F17" s="18">
        <v>0</v>
      </c>
      <c r="G17" s="18">
        <v>1</v>
      </c>
      <c r="H17" s="18"/>
      <c r="I17" s="18" t="s">
        <v>122</v>
      </c>
      <c r="J17" s="18" t="s">
        <v>60</v>
      </c>
      <c r="K17" s="18"/>
      <c r="L17" s="19" t="s">
        <v>58</v>
      </c>
    </row>
    <row r="18" spans="1:12" ht="72.5" x14ac:dyDescent="0.35">
      <c r="A18" s="15" t="s">
        <v>15</v>
      </c>
      <c r="B18" s="11" t="s">
        <v>139</v>
      </c>
      <c r="C18" s="11" t="s">
        <v>112</v>
      </c>
      <c r="D18" s="11">
        <v>0.22</v>
      </c>
      <c r="E18" s="11">
        <v>3.5000000000000003E-2</v>
      </c>
      <c r="F18" s="11"/>
      <c r="G18" s="11"/>
      <c r="H18" s="11" t="s">
        <v>44</v>
      </c>
      <c r="I18" s="11"/>
      <c r="J18" s="11" t="s">
        <v>60</v>
      </c>
      <c r="K18" s="11"/>
      <c r="L18" s="16" t="s">
        <v>58</v>
      </c>
    </row>
    <row r="19" spans="1:12" ht="72.5" x14ac:dyDescent="0.35">
      <c r="A19" s="17" t="s">
        <v>15</v>
      </c>
      <c r="B19" s="18" t="s">
        <v>48</v>
      </c>
      <c r="C19" s="18" t="s">
        <v>112</v>
      </c>
      <c r="D19" s="18">
        <v>0.4</v>
      </c>
      <c r="E19" s="18">
        <v>0.8</v>
      </c>
      <c r="F19" s="20">
        <v>0.25</v>
      </c>
      <c r="G19" s="20">
        <v>0.4</v>
      </c>
      <c r="H19" s="20" t="s">
        <v>130</v>
      </c>
      <c r="I19" s="18" t="s">
        <v>72</v>
      </c>
      <c r="J19" s="18" t="s">
        <v>60</v>
      </c>
      <c r="K19" s="18"/>
      <c r="L19" s="19" t="s">
        <v>58</v>
      </c>
    </row>
    <row r="25" spans="1:12" ht="58" x14ac:dyDescent="0.35">
      <c r="A25" s="17" t="s">
        <v>16</v>
      </c>
      <c r="B25" s="18" t="s">
        <v>33</v>
      </c>
      <c r="C25" s="18" t="s">
        <v>112</v>
      </c>
      <c r="D25" s="18">
        <v>0.2</v>
      </c>
      <c r="E25" s="18"/>
      <c r="F25" s="18">
        <v>0.12</v>
      </c>
      <c r="G25" s="18">
        <v>0.3</v>
      </c>
      <c r="H25" s="13" t="s">
        <v>106</v>
      </c>
      <c r="I25" s="18" t="s">
        <v>107</v>
      </c>
      <c r="J25" s="18" t="s">
        <v>60</v>
      </c>
      <c r="K25" s="18"/>
      <c r="L25" s="19" t="s">
        <v>58</v>
      </c>
    </row>
    <row r="26" spans="1:12" ht="29" x14ac:dyDescent="0.35">
      <c r="A26" s="15" t="s">
        <v>16</v>
      </c>
      <c r="B26" s="11" t="s">
        <v>34</v>
      </c>
      <c r="C26" s="11" t="s">
        <v>112</v>
      </c>
      <c r="D26" s="11">
        <v>0.2</v>
      </c>
      <c r="E26" s="11"/>
      <c r="F26" s="11">
        <v>0</v>
      </c>
      <c r="G26" s="11">
        <v>1</v>
      </c>
      <c r="H26" s="11"/>
      <c r="I26" s="11" t="s">
        <v>122</v>
      </c>
      <c r="J26" s="11" t="s">
        <v>60</v>
      </c>
      <c r="K26" s="11"/>
      <c r="L26" s="16" t="s">
        <v>58</v>
      </c>
    </row>
    <row r="27" spans="1:12" ht="72.5" x14ac:dyDescent="0.35">
      <c r="A27" s="17" t="s">
        <v>16</v>
      </c>
      <c r="B27" s="18" t="s">
        <v>139</v>
      </c>
      <c r="C27" s="18" t="s">
        <v>112</v>
      </c>
      <c r="D27" s="18">
        <v>0.21</v>
      </c>
      <c r="E27" s="18">
        <f>0.02</f>
        <v>0.02</v>
      </c>
      <c r="F27" s="18"/>
      <c r="G27" s="18"/>
      <c r="H27" s="18" t="s">
        <v>67</v>
      </c>
      <c r="I27" s="18"/>
      <c r="J27" s="18" t="s">
        <v>60</v>
      </c>
      <c r="K27" s="18"/>
      <c r="L27" s="19" t="s">
        <v>58</v>
      </c>
    </row>
    <row r="28" spans="1:12" ht="261" x14ac:dyDescent="0.35">
      <c r="A28" s="15" t="s">
        <v>16</v>
      </c>
      <c r="B28" s="11" t="s">
        <v>48</v>
      </c>
      <c r="C28" s="11" t="s">
        <v>112</v>
      </c>
      <c r="D28" s="11">
        <v>0.2</v>
      </c>
      <c r="E28" s="11">
        <v>0.4</v>
      </c>
      <c r="F28" s="20"/>
      <c r="G28" s="20"/>
      <c r="H28" s="20" t="s">
        <v>131</v>
      </c>
      <c r="I28" s="11" t="s">
        <v>72</v>
      </c>
      <c r="J28" s="11" t="s">
        <v>60</v>
      </c>
      <c r="K28" s="11"/>
      <c r="L28" s="1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</vt:lpstr>
      <vt:lpstr>state_variables_value</vt:lpstr>
      <vt:lpstr>state_variable_include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Buchkowski</cp:lastModifiedBy>
  <dcterms:created xsi:type="dcterms:W3CDTF">2026-06-30T01:37:34Z</dcterms:created>
  <dcterms:modified xsi:type="dcterms:W3CDTF">2026-10-01T11:19:35Z</dcterms:modified>
</cp:coreProperties>
</file>